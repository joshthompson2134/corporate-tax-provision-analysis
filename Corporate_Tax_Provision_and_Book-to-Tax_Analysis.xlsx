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wnloads\"/>
    </mc:Choice>
  </mc:AlternateContent>
  <xr:revisionPtr revIDLastSave="0" documentId="8_{CBA099E5-E451-4F68-9152-56F0E645D363}" xr6:coauthVersionLast="47" xr6:coauthVersionMax="47" xr10:uidLastSave="{00000000-0000-0000-0000-000000000000}"/>
  <bookViews>
    <workbookView xWindow="-36" yWindow="72" windowWidth="13056" windowHeight="12048" firstSheet="3" activeTab="5" xr2:uid="{926FBC78-C106-4273-832E-BEDD472FF7C7}"/>
  </bookViews>
  <sheets>
    <sheet name="Income Statement" sheetId="1" r:id="rId1"/>
    <sheet name="Book-Tax Recon" sheetId="2" r:id="rId2"/>
    <sheet name="Tax Calculation" sheetId="3" r:id="rId3"/>
    <sheet name="Tax Provision" sheetId="4" r:id="rId4"/>
    <sheet name="Tax Research" sheetId="5" r:id="rId5"/>
    <sheet name="Dashboard" sheetId="6" r:id="rId6"/>
    <sheet name="Sheet7" sheetId="7" r:id="rId7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2" l="1"/>
  <c r="D11" i="2"/>
  <c r="B13" i="2"/>
  <c r="B4" i="3"/>
  <c r="B5" i="4"/>
  <c r="B7" i="4"/>
  <c r="B10" i="4"/>
  <c r="B12" i="4"/>
  <c r="B14" i="4"/>
  <c r="B17" i="4"/>
  <c r="B18" i="4"/>
  <c r="B49" i="6"/>
  <c r="A6" i="6"/>
  <c r="B48" i="6"/>
  <c r="B47" i="6"/>
  <c r="B46" i="6"/>
  <c r="B29" i="6"/>
  <c r="B28" i="6"/>
  <c r="B15" i="6"/>
  <c r="B14" i="6"/>
  <c r="B13" i="6"/>
  <c r="G6" i="6"/>
  <c r="E6" i="6"/>
  <c r="C6" i="6"/>
  <c r="B16" i="4"/>
  <c r="B11" i="4"/>
  <c r="B6" i="4"/>
  <c r="B6" i="3"/>
  <c r="B9" i="3"/>
  <c r="B10" i="3"/>
  <c r="B8" i="3"/>
  <c r="D8" i="2"/>
  <c r="D7" i="2"/>
  <c r="C7" i="2"/>
  <c r="B4" i="2"/>
  <c r="B7" i="2"/>
  <c r="B9" i="2"/>
  <c r="B8" i="2"/>
  <c r="B16" i="1"/>
  <c r="B14" i="1"/>
  <c r="B6" i="1"/>
</calcChain>
</file>

<file path=xl/sharedStrings.xml><?xml version="1.0" encoding="utf-8"?>
<sst xmlns="http://schemas.openxmlformats.org/spreadsheetml/2006/main" count="101" uniqueCount="71">
  <si>
    <t>Peachtree Technologies, Inc.</t>
  </si>
  <si>
    <t>2026 Income Statement</t>
  </si>
  <si>
    <t>Revenue</t>
  </si>
  <si>
    <t>Cost of Goods Sold</t>
  </si>
  <si>
    <t>Gross Profit</t>
  </si>
  <si>
    <t>Salaries &amp; Wages</t>
  </si>
  <si>
    <t>Depreciation Expense</t>
  </si>
  <si>
    <t>Business Meals</t>
  </si>
  <si>
    <t>Fines &amp; Penalties</t>
  </si>
  <si>
    <t>Interest Expense</t>
  </si>
  <si>
    <t>Other Operating Expenses</t>
  </si>
  <si>
    <t>Total Operating Expenses</t>
  </si>
  <si>
    <t>Pretax Book Income</t>
  </si>
  <si>
    <t>2026 Book-to-Tax Reconciliation</t>
  </si>
  <si>
    <t>Book-Tax Adjustment</t>
  </si>
  <si>
    <t>Book Amount</t>
  </si>
  <si>
    <t>Tax Amount</t>
  </si>
  <si>
    <t>Adjustment</t>
  </si>
  <si>
    <t>Difference Type</t>
  </si>
  <si>
    <t>Depreciation</t>
  </si>
  <si>
    <t>Permanent</t>
  </si>
  <si>
    <t>Temporary</t>
  </si>
  <si>
    <t>Taxable Income</t>
  </si>
  <si>
    <t>2026 Federal Corporate Tax Calculation</t>
  </si>
  <si>
    <t>Federal Corporate Tax Rate</t>
  </si>
  <si>
    <t>Estimated Federal Income Tax</t>
  </si>
  <si>
    <t>Effective Tax Rate</t>
  </si>
  <si>
    <t>2026 Income Tax Provision</t>
  </si>
  <si>
    <t>Current Tax Provision</t>
  </si>
  <si>
    <t>Federal Tax Rate</t>
  </si>
  <si>
    <t>Current Federal Tax Expense</t>
  </si>
  <si>
    <t>Deferred Tax Provision</t>
  </si>
  <si>
    <t>Depreciation Temporary  Difference</t>
  </si>
  <si>
    <t>Total Income Tax Provision</t>
  </si>
  <si>
    <t>2026 Tax Research &amp; Compliance Documentation</t>
  </si>
  <si>
    <t>Research Question</t>
  </si>
  <si>
    <t>Tax Issue</t>
  </si>
  <si>
    <t>Conclusion</t>
  </si>
  <si>
    <t>Tax Treatment</t>
  </si>
  <si>
    <t>Authority / Source</t>
  </si>
  <si>
    <t>Are ordinary business meal expenses deductible for federal income tax purposes?</t>
  </si>
  <si>
    <t>Generally, qualifying business meal expenses are subject to a 50% deduction limitation.</t>
  </si>
  <si>
    <t>50% Deductible</t>
  </si>
  <si>
    <t>Are fines and penalties paid to a gov't for violations of law deductible?</t>
  </si>
  <si>
    <t>Generally, amounts paid to a government for the violation of law are nondeductible, subject to statutory exceptions.</t>
  </si>
  <si>
    <t>Nondeductible under project assumption</t>
  </si>
  <si>
    <t>What federal income tax rate applies to the project's C corporation?</t>
  </si>
  <si>
    <t>The project applies the federal corporate income tax rate to taxable income.</t>
  </si>
  <si>
    <t>Can depreciation for tax purposes differ from depreciation recognized for financial reporting?</t>
  </si>
  <si>
    <t>$100,000 temporary difference</t>
  </si>
  <si>
    <t>IRS Publication 463 / IRC §274</t>
  </si>
  <si>
    <t>IRC §162(f)</t>
  </si>
  <si>
    <t>IRC §11</t>
  </si>
  <si>
    <t>Total Tax Provision</t>
  </si>
  <si>
    <t>Book-to-Tax Adjustment Analysis</t>
  </si>
  <si>
    <t>Amount</t>
  </si>
  <si>
    <t>Tax Provision Breakdown</t>
  </si>
  <si>
    <t>Component</t>
  </si>
  <si>
    <t>Current Tax Expense</t>
  </si>
  <si>
    <t>Deferred Tax Expense</t>
  </si>
  <si>
    <t>Effective Tax Rate Reconciliation</t>
  </si>
  <si>
    <t>Rate</t>
  </si>
  <si>
    <t>Statutory Federal Tax Rate</t>
  </si>
  <si>
    <t>Business Meals Impact</t>
  </si>
  <si>
    <t>Fines &amp; Penalties Impact</t>
  </si>
  <si>
    <t>2026 Corporate Tax Analytics Dashboard</t>
  </si>
  <si>
    <t>Net Book-Tax Adjustments</t>
  </si>
  <si>
    <t>Current Tax Rate</t>
  </si>
  <si>
    <t>Deferred Federal Tax Expense</t>
  </si>
  <si>
    <t>For this model, tax depreciation is assumed to be $350,000 compared with $250,000 of book depreciation, resulting in a $100,000 temporary difference.</t>
  </si>
  <si>
    <t>IRS Publication 946 / IRC §§167-168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</si>
</sst>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6" formatCode="&quot;$&quot;#,##0"/>
    <numFmt numFmtId="168" formatCode="&quot;$&quot;#,##0;\(&quot;$&quot;#,##0\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3" fontId="0" fillId="0" borderId="0" xfId="0" applyNumberFormat="1"/>
    <xf numFmtId="9" fontId="0" fillId="0" borderId="0" xfId="0" applyNumberFormat="1"/>
    <xf numFmtId="166" fontId="0" fillId="0" borderId="0" xfId="0" applyNumberFormat="1"/>
    <xf numFmtId="10" fontId="0" fillId="0" borderId="0" xfId="0" applyNumberFormat="1"/>
    <xf numFmtId="5" fontId="0" fillId="0" borderId="0" xfId="0" applyNumberFormat="1"/>
    <xf numFmtId="168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horizontal="center"/>
    </xf>
    <xf numFmtId="166" fontId="3" fillId="2" borderId="4" xfId="0" applyNumberFormat="1" applyFont="1" applyFill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4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0" fillId="0" borderId="0" xfId="0" quotePrefix="1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right"/>
    </xf>
    <xf numFmtId="0" fontId="1" fillId="2" borderId="6" xfId="0" applyFont="1" applyFill="1" applyBorder="1"/>
    <xf numFmtId="0" fontId="0" fillId="2" borderId="6" xfId="0" applyFont="1" applyFill="1" applyBorder="1"/>
    <xf numFmtId="0" fontId="0" fillId="2" borderId="4" xfId="0" applyFont="1" applyFill="1" applyBorder="1"/>
    <xf numFmtId="168" fontId="0" fillId="2" borderId="0" xfId="0" applyNumberFormat="1" applyFont="1" applyFill="1" applyBorder="1"/>
    <xf numFmtId="168" fontId="0" fillId="2" borderId="5" xfId="0" applyNumberFormat="1" applyFont="1" applyFill="1" applyBorder="1"/>
    <xf numFmtId="166" fontId="0" fillId="2" borderId="0" xfId="0" applyNumberFormat="1" applyFont="1" applyFill="1" applyBorder="1"/>
    <xf numFmtId="5" fontId="0" fillId="2" borderId="5" xfId="0" applyNumberFormat="1" applyFont="1" applyFill="1" applyBorder="1"/>
    <xf numFmtId="9" fontId="0" fillId="2" borderId="0" xfId="0" applyNumberFormat="1" applyFont="1" applyFill="1" applyBorder="1"/>
    <xf numFmtId="10" fontId="0" fillId="2" borderId="0" xfId="0" applyNumberFormat="1" applyFont="1" applyFill="1" applyBorder="1"/>
    <xf numFmtId="10" fontId="0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Book-to-Tax Adjustments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8498603857394"/>
          <c:y val="0.16245370370370371"/>
          <c:w val="0.84803054371469166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Dashboard!$A$13:$A$15</c:f>
              <c:strCache>
                <c:ptCount val="3"/>
                <c:pt idx="0">
                  <c:v>Business Meals</c:v>
                </c:pt>
                <c:pt idx="1">
                  <c:v>Fines &amp; Penalties</c:v>
                </c:pt>
                <c:pt idx="2">
                  <c:v>Depreciation</c:v>
                </c:pt>
              </c:strCache>
            </c:strRef>
          </c:cat>
          <c:val>
            <c:numRef>
              <c:f>Dashboard!$B$13:$B$15</c:f>
              <c:numCache>
                <c:formatCode>"$"#,##0;\("$"#,##0\)</c:formatCode>
                <c:ptCount val="3"/>
                <c:pt idx="0">
                  <c:v>40000</c:v>
                </c:pt>
                <c:pt idx="1">
                  <c:v>25000</c:v>
                </c:pt>
                <c:pt idx="2">
                  <c:v>-100000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2-4A64-8508-32F933D3E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04206751"/>
        <c:axId val="665285519"/>
      </c:barChart>
      <c:catAx>
        <c:axId val="804206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85519"/>
        <c:crosses val="autoZero"/>
        <c:auto val="1"/>
        <c:lblAlgn val="ctr"/>
        <c:lblOffset val="100"/>
        <c:noMultiLvlLbl val="0"/>
      </c:catAx>
      <c:valAx>
        <c:axId val="665285519"/>
        <c:scaling>
          <c:orientation val="minMax"/>
        </c:scaling>
        <c:delete val="0"/>
        <c:axPos val="b"/>
        <c:numFmt formatCode="&quot;$&quot;#,##0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0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2026 Income Tax Provision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Dashboard!$A$28:$A$29</c:f>
              <c:strCache>
                <c:ptCount val="2"/>
                <c:pt idx="0">
                  <c:v>Current Tax Expense</c:v>
                </c:pt>
                <c:pt idx="1">
                  <c:v>Deferred Tax Expense</c:v>
                </c:pt>
              </c:strCache>
            </c:strRef>
          </c:cat>
          <c:val>
            <c:numRef>
              <c:f>Dashboard!$B$28:$B$29</c:f>
              <c:numCache>
                <c:formatCode>"$"#,##0_);\("$"#,##0\)</c:formatCode>
                <c:ptCount val="2"/>
                <c:pt idx="0" formatCode="&quot;$&quot;#,##0">
                  <c:v>181650</c:v>
                </c:pt>
                <c:pt idx="1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8-41BD-B87B-6AAE36A8A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4193295"/>
        <c:axId val="665409359"/>
      </c:barChart>
      <c:catAx>
        <c:axId val="80419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09359"/>
        <c:crosses val="autoZero"/>
        <c:auto val="1"/>
        <c:lblAlgn val="ctr"/>
        <c:lblOffset val="100"/>
        <c:noMultiLvlLbl val="0"/>
      </c:catAx>
      <c:valAx>
        <c:axId val="665409359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9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8</xdr:row>
      <xdr:rowOff>3810</xdr:rowOff>
    </xdr:from>
    <xdr:to>
      <xdr:col>10</xdr:col>
      <xdr:colOff>556260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8C6E5-E6A7-C8DF-4EE5-4E5F1AD3E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426720</xdr:colOff>
      <xdr:row>24</xdr:row>
      <xdr:rowOff>19050</xdr:rowOff>
    </xdr:from>
    <xdr:to>
      <xdr:col>10</xdr:col>
      <xdr:colOff>579120</xdr:colOff>
      <xdr:row>39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4367AA-CA45-3AF7-2FA5-C4150386A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2976-7361-4980-8790-5F80B53FC673}">
  <dimension ref="A1:B16"/>
  <sheetViews>
    <sheetView topLeftCell="AG1" workbookViewId="0">
      <selection activeCell="B16" sqref="B16"/>
    </sheetView>
  </sheetViews>
  <sheetFormatPr defaultRowHeight="14.4" x14ac:dyDescent="0.3"/>
  <cols>
    <col min="1" max="1" width="24.44140625" bestFit="1" customWidth="1"/>
    <col min="2" max="2" width="9.10937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4" spans="1:2" x14ac:dyDescent="0.3">
      <c r="A4" s="1" t="s">
        <v>2</v>
      </c>
      <c r="B4" s="1">
        <v>5000000</v>
      </c>
    </row>
    <row r="5" spans="1:2" x14ac:dyDescent="0.3">
      <c r="A5" t="s">
        <v>3</v>
      </c>
      <c r="B5" s="1">
        <v>2100000</v>
      </c>
    </row>
    <row r="6" spans="1:2" x14ac:dyDescent="0.3">
      <c r="A6" t="s">
        <v>4</v>
      </c>
      <c r="B6" s="1">
        <f>B4-B5</f>
        <v>2900000</v>
      </c>
    </row>
    <row r="8" spans="1:2" x14ac:dyDescent="0.3">
      <c r="A8" t="s">
        <v>5</v>
      </c>
      <c r="B8" s="1">
        <v>900000</v>
      </c>
    </row>
    <row r="9" spans="1:2" x14ac:dyDescent="0.3">
      <c r="A9" t="s">
        <v>6</v>
      </c>
      <c r="B9" s="1">
        <v>250000</v>
      </c>
    </row>
    <row r="10" spans="1:2" x14ac:dyDescent="0.3">
      <c r="A10" t="s">
        <v>7</v>
      </c>
      <c r="B10" s="1">
        <v>80000</v>
      </c>
    </row>
    <row r="11" spans="1:2" x14ac:dyDescent="0.3">
      <c r="A11" t="s">
        <v>8</v>
      </c>
      <c r="B11" s="1">
        <v>25000</v>
      </c>
    </row>
    <row r="12" spans="1:2" x14ac:dyDescent="0.3">
      <c r="A12" t="s">
        <v>9</v>
      </c>
      <c r="B12" s="1">
        <v>120000</v>
      </c>
    </row>
    <row r="13" spans="1:2" x14ac:dyDescent="0.3">
      <c r="A13" t="s">
        <v>10</v>
      </c>
      <c r="B13" s="1">
        <v>625000</v>
      </c>
    </row>
    <row r="14" spans="1:2" x14ac:dyDescent="0.3">
      <c r="A14" t="s">
        <v>11</v>
      </c>
      <c r="B14" s="1">
        <f>SUM(B8:B13)</f>
        <v>2000000</v>
      </c>
    </row>
    <row r="16" spans="1:2" x14ac:dyDescent="0.3">
      <c r="A16" t="s">
        <v>12</v>
      </c>
      <c r="B16" s="1">
        <f>B6-B14</f>
        <v>900000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CD1B-DE3C-412F-B5C3-01C186D2DBD5}">
  <dimension ref="A1:E13"/>
  <sheetViews>
    <sheetView workbookViewId="0">
      <selection activeCell="A11" sqref="A11"/>
    </sheetView>
  </sheetViews>
  <sheetFormatPr defaultRowHeight="14.4" x14ac:dyDescent="0.3"/>
  <cols>
    <col min="1" max="1" width="27.109375" bestFit="1" customWidth="1"/>
    <col min="2" max="2" width="11.5546875" bestFit="1" customWidth="1"/>
    <col min="3" max="3" width="10.21875" bestFit="1" customWidth="1"/>
    <col min="4" max="4" width="10.109375" bestFit="1" customWidth="1"/>
    <col min="5" max="5" width="13.5546875" bestFit="1" customWidth="1"/>
  </cols>
  <sheetData>
    <row r="1" spans="1:5" x14ac:dyDescent="0.3">
      <c r="A1" t="s">
        <v>0</v>
      </c>
    </row>
    <row r="2" spans="1:5" x14ac:dyDescent="0.3">
      <c r="A2" t="s">
        <v>13</v>
      </c>
    </row>
    <row r="4" spans="1:5" x14ac:dyDescent="0.3">
      <c r="A4" t="s">
        <v>12</v>
      </c>
      <c r="B4" s="3">
        <f>'Income Statement'!B16</f>
        <v>900000</v>
      </c>
    </row>
    <row r="6" spans="1:5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3">
      <c r="A7" t="s">
        <v>7</v>
      </c>
      <c r="B7" s="16">
        <f>'Income Statement'!B10</f>
        <v>80000</v>
      </c>
      <c r="C7" s="3">
        <f>B7*50%</f>
        <v>40000</v>
      </c>
      <c r="D7" s="3">
        <f>B7-C7</f>
        <v>40000</v>
      </c>
      <c r="E7" t="s">
        <v>20</v>
      </c>
    </row>
    <row r="8" spans="1:5" x14ac:dyDescent="0.3">
      <c r="A8" t="s">
        <v>8</v>
      </c>
      <c r="B8" s="3">
        <f>'Income Statement'!B11</f>
        <v>25000</v>
      </c>
      <c r="C8">
        <v>0</v>
      </c>
      <c r="D8" s="3">
        <f>B8-C8</f>
        <v>25000</v>
      </c>
      <c r="E8" t="s">
        <v>20</v>
      </c>
    </row>
    <row r="9" spans="1:5" x14ac:dyDescent="0.3">
      <c r="A9" t="s">
        <v>19</v>
      </c>
      <c r="B9" s="3">
        <f>'Income Statement'!B9</f>
        <v>250000</v>
      </c>
      <c r="C9" s="3">
        <v>350000</v>
      </c>
      <c r="D9" s="6">
        <f>B9-C9</f>
        <v>-100000</v>
      </c>
      <c r="E9" t="s">
        <v>21</v>
      </c>
    </row>
    <row r="11" spans="1:5" x14ac:dyDescent="0.3">
      <c r="A11" t="s">
        <v>66</v>
      </c>
      <c r="D11" s="6">
        <f>SUM(D7:D9)</f>
        <v>-35000</v>
      </c>
    </row>
    <row r="13" spans="1:5" x14ac:dyDescent="0.3">
      <c r="A13" t="s">
        <v>22</v>
      </c>
      <c r="B13" s="5">
        <f>B4+D11</f>
        <v>865000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EFA2-426D-46EB-B483-4F6FC6828946}">
  <dimension ref="A1:B10"/>
  <sheetViews>
    <sheetView workbookViewId="0">
      <selection activeCell="A10" sqref="A10"/>
    </sheetView>
  </sheetViews>
  <sheetFormatPr defaultRowHeight="14.4" x14ac:dyDescent="0.3"/>
  <cols>
    <col min="1" max="1" width="24.44140625" bestFit="1" customWidth="1"/>
    <col min="2" max="2" width="11.109375" bestFit="1" customWidth="1"/>
  </cols>
  <sheetData>
    <row r="1" spans="1:2" x14ac:dyDescent="0.3">
      <c r="A1" t="s">
        <v>0</v>
      </c>
    </row>
    <row r="2" spans="1:2" x14ac:dyDescent="0.3">
      <c r="A2" t="s">
        <v>23</v>
      </c>
    </row>
    <row r="4" spans="1:2" x14ac:dyDescent="0.3">
      <c r="A4" t="s">
        <v>22</v>
      </c>
      <c r="B4" s="3">
        <f>'Book-Tax Recon'!B13</f>
        <v>865000</v>
      </c>
    </row>
    <row r="5" spans="1:2" x14ac:dyDescent="0.3">
      <c r="A5" t="s">
        <v>24</v>
      </c>
      <c r="B5" s="2">
        <v>0.21</v>
      </c>
    </row>
    <row r="6" spans="1:2" x14ac:dyDescent="0.3">
      <c r="A6" t="s">
        <v>25</v>
      </c>
      <c r="B6" s="3">
        <f>B4*B5</f>
        <v>181650</v>
      </c>
    </row>
    <row r="8" spans="1:2" x14ac:dyDescent="0.3">
      <c r="A8" t="s">
        <v>12</v>
      </c>
      <c r="B8" s="3">
        <f>'Book-Tax Recon'!B4</f>
        <v>900000</v>
      </c>
    </row>
    <row r="9" spans="1:2" x14ac:dyDescent="0.3">
      <c r="A9" t="s">
        <v>25</v>
      </c>
      <c r="B9" s="3">
        <f>B6</f>
        <v>181650</v>
      </c>
    </row>
    <row r="10" spans="1:2" x14ac:dyDescent="0.3">
      <c r="A10" t="s">
        <v>67</v>
      </c>
      <c r="B10" s="4">
        <f>B9/B8</f>
        <v>0.20183333333333334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BBDC-225A-4472-A02F-9BECA9402C60}">
  <dimension ref="A1:B18"/>
  <sheetViews>
    <sheetView topLeftCell="A2" workbookViewId="0">
      <selection activeCell="E13" sqref="E13"/>
    </sheetView>
  </sheetViews>
  <sheetFormatPr defaultRowHeight="14.4" x14ac:dyDescent="0.3"/>
  <cols>
    <col min="1" max="1" width="29.88671875" bestFit="1" customWidth="1"/>
    <col min="2" max="2" width="11.21875" bestFit="1" customWidth="1"/>
  </cols>
  <sheetData>
    <row r="1" spans="1:2" x14ac:dyDescent="0.3">
      <c r="A1" t="s">
        <v>0</v>
      </c>
    </row>
    <row r="2" spans="1:2" x14ac:dyDescent="0.3">
      <c r="A2" t="s">
        <v>27</v>
      </c>
    </row>
    <row r="4" spans="1:2" x14ac:dyDescent="0.3">
      <c r="A4" t="s">
        <v>28</v>
      </c>
    </row>
    <row r="5" spans="1:2" x14ac:dyDescent="0.3">
      <c r="A5" t="s">
        <v>22</v>
      </c>
      <c r="B5" s="3">
        <f>'Tax Calculation'!B4</f>
        <v>865000</v>
      </c>
    </row>
    <row r="6" spans="1:2" x14ac:dyDescent="0.3">
      <c r="A6" t="s">
        <v>29</v>
      </c>
      <c r="B6" s="2">
        <f>'Tax Calculation'!B5</f>
        <v>0.21</v>
      </c>
    </row>
    <row r="7" spans="1:2" x14ac:dyDescent="0.3">
      <c r="A7" t="s">
        <v>30</v>
      </c>
      <c r="B7" s="3">
        <f>B5*B6</f>
        <v>181650</v>
      </c>
    </row>
    <row r="9" spans="1:2" x14ac:dyDescent="0.3">
      <c r="A9" t="s">
        <v>31</v>
      </c>
    </row>
    <row r="10" spans="1:2" x14ac:dyDescent="0.3">
      <c r="A10" t="s">
        <v>32</v>
      </c>
      <c r="B10" s="3">
        <f>-'Book-Tax Recon'!D9</f>
        <v>100000</v>
      </c>
    </row>
    <row r="11" spans="1:2" x14ac:dyDescent="0.3">
      <c r="A11" t="s">
        <v>29</v>
      </c>
      <c r="B11" s="2">
        <f>'Tax Calculation'!B5</f>
        <v>0.21</v>
      </c>
    </row>
    <row r="12" spans="1:2" x14ac:dyDescent="0.3">
      <c r="A12" t="s">
        <v>68</v>
      </c>
      <c r="B12" s="5">
        <f>B10*B11</f>
        <v>21000</v>
      </c>
    </row>
    <row r="14" spans="1:2" x14ac:dyDescent="0.3">
      <c r="A14" t="s">
        <v>33</v>
      </c>
      <c r="B14" s="3">
        <f>B7+B12</f>
        <v>202650</v>
      </c>
    </row>
    <row r="16" spans="1:2" x14ac:dyDescent="0.3">
      <c r="A16" t="s">
        <v>12</v>
      </c>
      <c r="B16" s="3">
        <f>'Income Statement'!B16</f>
        <v>900000</v>
      </c>
    </row>
    <row r="17" spans="1:2" x14ac:dyDescent="0.3">
      <c r="A17" t="s">
        <v>33</v>
      </c>
      <c r="B17" s="3">
        <f>B14</f>
        <v>202650</v>
      </c>
    </row>
    <row r="18" spans="1:2" x14ac:dyDescent="0.3">
      <c r="A18" t="s">
        <v>26</v>
      </c>
      <c r="B18" s="4">
        <f>B17/B16</f>
        <v>0.22516666666666665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0E98-D459-465D-8907-F929A803FEF6}">
  <dimension ref="A1:E8"/>
  <sheetViews>
    <sheetView workbookViewId="0">
      <selection activeCell="E11" sqref="E11"/>
    </sheetView>
  </sheetViews>
  <sheetFormatPr defaultRowHeight="14.4" x14ac:dyDescent="0.3"/>
  <cols>
    <col min="1" max="1" width="24.77734375" customWidth="1"/>
    <col min="2" max="2" width="50.77734375" customWidth="1"/>
    <col min="3" max="3" width="60.77734375" customWidth="1"/>
    <col min="4" max="4" width="30.77734375" customWidth="1"/>
    <col min="5" max="5" width="32.77734375" customWidth="1"/>
  </cols>
  <sheetData>
    <row r="1" spans="1:5" x14ac:dyDescent="0.3">
      <c r="A1" t="s">
        <v>0</v>
      </c>
    </row>
    <row r="2" spans="1:5" x14ac:dyDescent="0.3">
      <c r="A2" t="s">
        <v>34</v>
      </c>
    </row>
    <row r="4" spans="1:5" s="7" customFormat="1" x14ac:dyDescent="0.3">
      <c r="A4" s="19" t="s">
        <v>36</v>
      </c>
      <c r="B4" s="19" t="s">
        <v>35</v>
      </c>
      <c r="C4" s="19" t="s">
        <v>37</v>
      </c>
      <c r="D4" s="19" t="s">
        <v>38</v>
      </c>
      <c r="E4" s="19" t="s">
        <v>39</v>
      </c>
    </row>
    <row r="5" spans="1:5" ht="28.8" x14ac:dyDescent="0.3">
      <c r="A5" s="17" t="s">
        <v>7</v>
      </c>
      <c r="B5" s="17" t="s">
        <v>40</v>
      </c>
      <c r="C5" s="17" t="s">
        <v>41</v>
      </c>
      <c r="D5" s="17" t="s">
        <v>42</v>
      </c>
      <c r="E5" s="17" t="s">
        <v>50</v>
      </c>
    </row>
    <row r="6" spans="1:5" ht="28.8" x14ac:dyDescent="0.3">
      <c r="A6" s="17" t="s">
        <v>8</v>
      </c>
      <c r="B6" s="17" t="s">
        <v>43</v>
      </c>
      <c r="C6" s="17" t="s">
        <v>44</v>
      </c>
      <c r="D6" s="17" t="s">
        <v>45</v>
      </c>
      <c r="E6" s="17" t="s">
        <v>51</v>
      </c>
    </row>
    <row r="7" spans="1:5" ht="28.8" x14ac:dyDescent="0.3">
      <c r="A7" s="17" t="s">
        <v>24</v>
      </c>
      <c r="B7" s="17" t="s">
        <v>46</v>
      </c>
      <c r="C7" s="17" t="s">
        <v>47</v>
      </c>
      <c r="D7" s="18">
        <v>0.21</v>
      </c>
      <c r="E7" s="17" t="s">
        <v>52</v>
      </c>
    </row>
    <row r="8" spans="1:5" ht="43.2" x14ac:dyDescent="0.3">
      <c r="A8" s="17" t="s">
        <v>19</v>
      </c>
      <c r="B8" s="17" t="s">
        <v>48</v>
      </c>
      <c r="C8" s="17" t="s">
        <v>69</v>
      </c>
      <c r="D8" s="17" t="s">
        <v>49</v>
      </c>
      <c r="E8" s="17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5B78-0D99-40C3-A657-378D950FA598}">
  <dimension ref="A1:M49"/>
  <sheetViews>
    <sheetView tabSelected="1" workbookViewId="0">
      <selection activeCell="A46" sqref="A46:B49"/>
    </sheetView>
  </sheetViews>
  <sheetFormatPr defaultRowHeight="14.4" x14ac:dyDescent="0.3"/>
  <cols>
    <col min="1" max="1" width="25.77734375" customWidth="1"/>
    <col min="2" max="8" width="15.77734375" customWidth="1"/>
  </cols>
  <sheetData>
    <row r="1" spans="1:13" ht="33.6" x14ac:dyDescent="0.6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5.8" x14ac:dyDescent="0.5">
      <c r="A2" s="15" t="s">
        <v>65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5" spans="1:13" x14ac:dyDescent="0.3">
      <c r="A5" s="8" t="s">
        <v>12</v>
      </c>
      <c r="B5" s="9"/>
      <c r="C5" s="8" t="s">
        <v>22</v>
      </c>
      <c r="D5" s="9"/>
      <c r="E5" s="8" t="s">
        <v>53</v>
      </c>
      <c r="F5" s="9"/>
      <c r="G5" s="8" t="s">
        <v>26</v>
      </c>
      <c r="H5" s="9"/>
    </row>
    <row r="6" spans="1:13" ht="21" x14ac:dyDescent="0.4">
      <c r="A6" s="10">
        <f>'Income Statement'!B16</f>
        <v>900000</v>
      </c>
      <c r="B6" s="11"/>
      <c r="C6" s="10">
        <f>'Book-Tax Recon'!B13</f>
        <v>865000</v>
      </c>
      <c r="D6" s="11"/>
      <c r="E6" s="10">
        <f>'Tax Provision'!B14</f>
        <v>202650</v>
      </c>
      <c r="F6" s="11"/>
      <c r="G6" s="12">
        <f>'Tax Provision'!B18</f>
        <v>0.22516666666666665</v>
      </c>
      <c r="H6" s="13"/>
    </row>
    <row r="10" spans="1:13" ht="18" x14ac:dyDescent="0.35">
      <c r="A10" s="20" t="s">
        <v>54</v>
      </c>
      <c r="B10" s="20"/>
    </row>
    <row r="12" spans="1:13" x14ac:dyDescent="0.3">
      <c r="A12" s="22" t="s">
        <v>17</v>
      </c>
      <c r="B12" s="21" t="s">
        <v>55</v>
      </c>
    </row>
    <row r="13" spans="1:13" x14ac:dyDescent="0.3">
      <c r="A13" s="23" t="s">
        <v>7</v>
      </c>
      <c r="B13" s="25">
        <f>'Book-Tax Recon'!D7</f>
        <v>40000</v>
      </c>
    </row>
    <row r="14" spans="1:13" x14ac:dyDescent="0.3">
      <c r="A14" s="23" t="s">
        <v>8</v>
      </c>
      <c r="B14" s="25">
        <f>'Book-Tax Recon'!D8</f>
        <v>25000</v>
      </c>
    </row>
    <row r="15" spans="1:13" x14ac:dyDescent="0.3">
      <c r="A15" s="24" t="s">
        <v>19</v>
      </c>
      <c r="B15" s="26">
        <f>'Book-Tax Recon'!D9</f>
        <v>-100000</v>
      </c>
    </row>
    <row r="25" spans="1:2" ht="18" x14ac:dyDescent="0.35">
      <c r="A25" s="20" t="s">
        <v>56</v>
      </c>
      <c r="B25" s="20"/>
    </row>
    <row r="27" spans="1:2" x14ac:dyDescent="0.3">
      <c r="A27" s="22" t="s">
        <v>57</v>
      </c>
      <c r="B27" s="21" t="s">
        <v>55</v>
      </c>
    </row>
    <row r="28" spans="1:2" x14ac:dyDescent="0.3">
      <c r="A28" s="23" t="s">
        <v>58</v>
      </c>
      <c r="B28" s="27">
        <f>'Tax Provision'!B7</f>
        <v>181650</v>
      </c>
    </row>
    <row r="29" spans="1:2" x14ac:dyDescent="0.3">
      <c r="A29" s="24" t="s">
        <v>59</v>
      </c>
      <c r="B29" s="28">
        <f>'Tax Provision'!B12</f>
        <v>21000</v>
      </c>
    </row>
    <row r="43" spans="1:2" ht="18" x14ac:dyDescent="0.35">
      <c r="A43" s="20" t="s">
        <v>60</v>
      </c>
      <c r="B43" s="20"/>
    </row>
    <row r="45" spans="1:2" x14ac:dyDescent="0.3">
      <c r="A45" s="22" t="s">
        <v>57</v>
      </c>
      <c r="B45" s="21" t="s">
        <v>61</v>
      </c>
    </row>
    <row r="46" spans="1:2" x14ac:dyDescent="0.3">
      <c r="A46" s="23" t="s">
        <v>62</v>
      </c>
      <c r="B46" s="29">
        <f>'Tax Calculation'!B5</f>
        <v>0.21</v>
      </c>
    </row>
    <row r="47" spans="1:2" x14ac:dyDescent="0.3">
      <c r="A47" s="23" t="s">
        <v>63</v>
      </c>
      <c r="B47" s="30">
        <f>('Book-Tax Recon'!D7*'Tax Calculation'!B5)/'Income Statement'!B16</f>
        <v>9.3333333333333341E-3</v>
      </c>
    </row>
    <row r="48" spans="1:2" x14ac:dyDescent="0.3">
      <c r="A48" s="23" t="s">
        <v>64</v>
      </c>
      <c r="B48" s="30">
        <f>('Book-Tax Recon'!D8*'Tax Calculation'!B5)/'Income Statement'!B16</f>
        <v>5.8333333333333336E-3</v>
      </c>
    </row>
    <row r="49" spans="1:2" x14ac:dyDescent="0.3">
      <c r="A49" s="24" t="s">
        <v>26</v>
      </c>
      <c r="B49" s="31">
        <f>'Tax Provision'!B18</f>
        <v>0.22516666666666665</v>
      </c>
    </row>
  </sheetData>
  <mergeCells count="13">
    <mergeCell ref="A25:B25"/>
    <mergeCell ref="A43:B43"/>
    <mergeCell ref="A1:M1"/>
    <mergeCell ref="A2:M2"/>
    <mergeCell ref="G5:H5"/>
    <mergeCell ref="G6:H6"/>
    <mergeCell ref="A10:B10"/>
    <mergeCell ref="A6:B6"/>
    <mergeCell ref="A5:B5"/>
    <mergeCell ref="C5:D5"/>
    <mergeCell ref="C6:D6"/>
    <mergeCell ref="E5:F5"/>
    <mergeCell ref="E6:F6"/>
  </mergeCells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BB49-437E-4FB4-A140-E92A360F2F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Book-Tax Recon</vt:lpstr>
      <vt:lpstr>Tax Calculation</vt:lpstr>
      <vt:lpstr>Tax Provision</vt:lpstr>
      <vt:lpstr>Tax Research</vt:lpstr>
      <vt:lpstr>Dashboard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Thompson</dc:creator>
  <cp:lastModifiedBy>Joshua Thompson</cp:lastModifiedBy>
  <dcterms:created xsi:type="dcterms:W3CDTF">2026-09-08T13:39:13Z</dcterms:created>
  <dcterms:modified xsi:type="dcterms:W3CDTF">2026-09-09T15:18:51Z</dcterms:modified>
</cp:coreProperties>
</file>